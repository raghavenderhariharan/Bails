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aghavender.hariharan/Documents/BailsLedger/"/>
    </mc:Choice>
  </mc:AlternateContent>
  <xr:revisionPtr revIDLastSave="0" documentId="13_ncr:1_{D7F02A99-16D0-A941-A3EF-8C7463F1DFB5}" xr6:coauthVersionLast="47" xr6:coauthVersionMax="47" xr10:uidLastSave="{00000000-0000-0000-0000-000000000000}"/>
  <bookViews>
    <workbookView xWindow="0" yWindow="580" windowWidth="29920" windowHeight="18760" activeTab="1" xr2:uid="{12D37392-D9A0-C04F-BAC3-91B4DD80DA68}"/>
  </bookViews>
  <sheets>
    <sheet name="Dashboard" sheetId="1" r:id="rId1"/>
    <sheet name="Transaction Ledger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K4" i="2" l="1"/>
  <c r="K5" i="2" s="1"/>
  <c r="K6" i="2" s="1"/>
  <c r="K7" i="2" s="1"/>
  <c r="K8" i="2" s="1"/>
  <c r="K9" i="2" s="1"/>
  <c r="K10" i="2" s="1"/>
  <c r="K11" i="2" s="1"/>
  <c r="K12" i="2" s="1"/>
  <c r="K3" i="2"/>
  <c r="K2" i="2"/>
  <c r="J12" i="2"/>
  <c r="J11" i="2"/>
  <c r="J10" i="2"/>
  <c r="J9" i="2"/>
  <c r="J8" i="2"/>
  <c r="J7" i="2"/>
  <c r="J6" i="2"/>
  <c r="J5" i="2"/>
  <c r="J4" i="2"/>
  <c r="J3" i="2"/>
  <c r="J2" i="2"/>
  <c r="C23" i="1"/>
  <c r="C22" i="1"/>
  <c r="C21" i="1"/>
  <c r="C20" i="1"/>
  <c r="C19" i="1"/>
  <c r="C18" i="1"/>
  <c r="C17" i="1"/>
  <c r="C16" i="1"/>
  <c r="C15" i="1"/>
  <c r="C14" i="1"/>
  <c r="C13" i="1"/>
  <c r="C12" i="1"/>
  <c r="B23" i="1"/>
  <c r="D23" i="1" s="1"/>
  <c r="B22" i="1"/>
  <c r="B21" i="1"/>
  <c r="D21" i="1" s="1"/>
  <c r="B20" i="1"/>
  <c r="B19" i="1"/>
  <c r="B18" i="1"/>
  <c r="D18" i="1" s="1"/>
  <c r="B17" i="1"/>
  <c r="D17" i="1" s="1"/>
  <c r="B16" i="1"/>
  <c r="D16" i="1" s="1"/>
  <c r="B15" i="1"/>
  <c r="D15" i="1" s="1"/>
  <c r="B14" i="1"/>
  <c r="B13" i="1"/>
  <c r="B12" i="1"/>
  <c r="D12" i="1" s="1"/>
  <c r="D7" i="1"/>
  <c r="A7" i="1"/>
  <c r="G7" i="1" s="1"/>
  <c r="D14" i="1" l="1"/>
  <c r="D13" i="1"/>
  <c r="D19" i="1"/>
  <c r="D22" i="1"/>
  <c r="D20" i="1"/>
</calcChain>
</file>

<file path=xl/sharedStrings.xml><?xml version="1.0" encoding="utf-8"?>
<sst xmlns="http://schemas.openxmlformats.org/spreadsheetml/2006/main" count="99" uniqueCount="58">
  <si>
    <t>Date</t>
  </si>
  <si>
    <t>Day</t>
  </si>
  <si>
    <t>Type</t>
  </si>
  <si>
    <t>Category</t>
  </si>
  <si>
    <t>Description</t>
  </si>
  <si>
    <t>Slot</t>
  </si>
  <si>
    <t>Party</t>
  </si>
  <si>
    <t>Income</t>
  </si>
  <si>
    <t>Expense</t>
  </si>
  <si>
    <t>Net</t>
  </si>
  <si>
    <t>Running Balance</t>
  </si>
  <si>
    <t>Notes</t>
  </si>
  <si>
    <t>Friday</t>
  </si>
  <si>
    <t>Ground booking</t>
  </si>
  <si>
    <t>7:00 AM slot</t>
  </si>
  <si>
    <t>Customer</t>
  </si>
  <si>
    <t>10:45 AM slot</t>
  </si>
  <si>
    <t>2:30 PM slot</t>
  </si>
  <si>
    <t>Other income</t>
  </si>
  <si>
    <t>Unallocated portion of stated daily revenue</t>
  </si>
  <si>
    <t>Other</t>
  </si>
  <si>
    <t>Added to reconcile stated ₹20,000 daily total</t>
  </si>
  <si>
    <t>Saturday</t>
  </si>
  <si>
    <t>Sunday</t>
  </si>
  <si>
    <t>ECL booking</t>
  </si>
  <si>
    <t>All three slots</t>
  </si>
  <si>
    <t>All slots</t>
  </si>
  <si>
    <t>ECL</t>
  </si>
  <si>
    <t>Combined booking amount</t>
  </si>
  <si>
    <t>Market expenses</t>
  </si>
  <si>
    <t>Weekly market allowance</t>
  </si>
  <si>
    <t>Evening</t>
  </si>
  <si>
    <t>Groundsman 1</t>
  </si>
  <si>
    <t>Weekly payment</t>
  </si>
  <si>
    <t>Groundsman 2</t>
  </si>
  <si>
    <t>Salary / chit payment</t>
  </si>
  <si>
    <t>Fortnightly chit payment from salary</t>
  </si>
  <si>
    <t>Every 15 days</t>
  </si>
  <si>
    <t>BAILS GROUND BOOKINGS — LEDGER DASHBOARD</t>
  </si>
  <si>
    <t>Selected Month</t>
  </si>
  <si>
    <t>MONTHLY INCOME</t>
  </si>
  <si>
    <t>MONTHLY EXPENSE</t>
  </si>
  <si>
    <t>NET BALANCE</t>
  </si>
  <si>
    <t>Month</t>
  </si>
  <si>
    <t>Recurring Commitment</t>
  </si>
  <si>
    <t>Frequency</t>
  </si>
  <si>
    <t>Amount</t>
  </si>
  <si>
    <t>Current treatment</t>
  </si>
  <si>
    <t>Market allowance — Groundsman 1</t>
  </si>
  <si>
    <t>Weekly</t>
  </si>
  <si>
    <t>Recorded for 4 Oct</t>
  </si>
  <si>
    <t>Market allowance — Groundsman 2</t>
  </si>
  <si>
    <t>Salary / chit payment — Groundsman 1</t>
  </si>
  <si>
    <t>Thursday</t>
  </si>
  <si>
    <t>Opening Balance</t>
  </si>
  <si>
    <t>Opening balance</t>
  </si>
  <si>
    <t>Starting balance for October 2026</t>
  </si>
  <si>
    <t>Opening balance set to zero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</si>
</sst>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dd\-mmm\-yyyy"/>
    <numFmt numFmtId="165" formatCode="\₹#,##0;[Red]\-\₹#,##0"/>
    <numFmt numFmtId="166" formatCode="mmmm\ yyyy"/>
    <numFmt numFmtId="167" formatCode="mmm\ yyyy"/>
    <numFmt numFmtId="168" formatCode="\₹#,##0"/>
  </numFmts>
  <fonts count="5" x14ac:knownFonts="1">
    <font>
      <sz val="12"/>
      <color theme="1"/>
      <name val="Aptos Narrow"/>
      <family val="2"/>
      <scheme val="minor"/>
    </font>
    <font>
      <sz val="12"/>
      <color theme="1"/>
      <name val="Aptos"/>
    </font>
    <font>
      <b/>
      <sz val="12"/>
      <color rgb="FFFFFFFF"/>
      <name val="Aptos"/>
    </font>
    <font>
      <b/>
      <sz val="20"/>
      <color rgb="FFFFFFFF"/>
      <name val="Aptos"/>
    </font>
    <font>
      <b/>
      <sz val="18"/>
      <color theme="1"/>
      <name val="Aptos"/>
    </font>
  </fonts>
  <fills count="10">
    <fill>
      <patternFill patternType="none"/>
    </fill>
    <fill>
      <patternFill patternType="gray125"/>
    </fill>
    <fill>
      <patternFill patternType="solid">
        <fgColor rgb="FF17365D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C55A11"/>
        <bgColor indexed="64"/>
      </patternFill>
    </fill>
    <fill>
      <patternFill patternType="solid">
        <fgColor rgb="FF548235"/>
        <bgColor indexed="64"/>
      </patternFill>
    </fill>
    <fill>
      <patternFill patternType="solid">
        <fgColor rgb="FFD9E6F7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5B657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1F2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/>
    <xf numFmtId="166" fontId="1" fillId="0" borderId="0" xfId="0" applyNumberFormat="1" applyFont="1"/>
    <xf numFmtId="168" fontId="1" fillId="0" borderId="0" xfId="0" applyNumberFormat="1" applyFont="1"/>
    <xf numFmtId="18" fontId="1" fillId="0" borderId="0" xfId="0" applyNumberFormat="1" applyFont="1"/>
    <xf numFmtId="0" fontId="3" fillId="2" borderId="0" xfId="0" applyFont="1" applyFill="1" applyAlignment="1">
      <alignment horizontal="center" vertical="center"/>
    </xf>
    <xf numFmtId="0" fontId="2" fillId="3" borderId="0" xfId="0" applyFont="1" applyFill="1"/>
    <xf numFmtId="0" fontId="2" fillId="0" borderId="0" xfId="0" applyFont="1"/>
    <xf numFmtId="0" fontId="2" fillId="4" borderId="0" xfId="0" applyFont="1" applyFill="1"/>
    <xf numFmtId="0" fontId="2" fillId="5" borderId="0" xfId="0" applyFont="1" applyFill="1"/>
    <xf numFmtId="165" fontId="4" fillId="6" borderId="0" xfId="0" applyNumberFormat="1" applyFont="1" applyFill="1" applyAlignment="1">
      <alignment horizontal="center" vertical="center"/>
    </xf>
    <xf numFmtId="165" fontId="4" fillId="0" borderId="0" xfId="0" applyNumberFormat="1" applyFont="1" applyAlignment="1">
      <alignment horizontal="center" vertical="center"/>
    </xf>
    <xf numFmtId="165" fontId="4" fillId="7" borderId="0" xfId="0" applyNumberFormat="1" applyFont="1" applyFill="1" applyAlignment="1">
      <alignment horizontal="center" vertical="center"/>
    </xf>
    <xf numFmtId="165" fontId="4" fillId="8" borderId="0" xfId="0" applyNumberFormat="1" applyFont="1" applyFill="1" applyAlignment="1">
      <alignment horizontal="center" vertical="center"/>
    </xf>
    <xf numFmtId="0" fontId="2" fillId="2" borderId="0" xfId="0" applyFont="1" applyFill="1"/>
    <xf numFmtId="0" fontId="2" fillId="9" borderId="0" xfId="0" applyFont="1" applyFill="1"/>
    <xf numFmtId="167" fontId="1" fillId="0" borderId="0" xfId="0" applyNumberFormat="1" applyFont="1" applyBorder="1"/>
    <xf numFmtId="165" fontId="1" fillId="0" borderId="0" xfId="0" applyNumberFormat="1" applyFont="1" applyBorder="1"/>
    <xf numFmtId="167" fontId="1" fillId="0" borderId="1" xfId="0" applyNumberFormat="1" applyFont="1" applyBorder="1"/>
    <xf numFmtId="165" fontId="1" fillId="0" borderId="1" xfId="0" applyNumberFormat="1" applyFont="1" applyBorder="1"/>
    <xf numFmtId="165" fontId="1" fillId="0" borderId="0" xfId="0" applyNumberFormat="1" applyFont="1" applyAlignment="1">
      <alignment horizontal="right"/>
    </xf>
    <xf numFmtId="164" fontId="1" fillId="0" borderId="0" xfId="0" applyNumberFormat="1" applyFont="1" applyAlignment="1">
      <alignment horizontal="right"/>
    </xf>
    <xf numFmtId="0" fontId="2" fillId="2" borderId="0" xfId="0" applyFont="1" applyFill="1" applyAlignment="1">
      <alignment wrapText="1"/>
    </xf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165" fontId="0" fillId="0" borderId="0" xfId="0" applyNumberFormat="1" applyFont="1" applyAlignment="1">
      <alignment horizontal="right"/>
    </xf>
    <xf numFmtId="164" fontId="2" fillId="2" borderId="0" xfId="0" applyNumberFormat="1" applyFont="1" applyFill="1" applyAlignment="1">
      <alignment horizontal="right"/>
    </xf>
    <xf numFmtId="165" fontId="2" fillId="2" borderId="0" xfId="0" applyNumberFormat="1" applyFont="1" applyFill="1" applyAlignment="1">
      <alignment horizontal="right"/>
    </xf>
  </cellXfs>
  <cellStyles count="1">
    <cellStyle name="Normal" xfId="0" builtinId="0"/>
  </cellStyles>
  <dxfs count="14">
    <dxf>
      <font>
        <name val="Aptos"/>
      </font>
      <numFmt numFmtId="165" formatCode="\₹#,##0;[Red]\-\₹#,##0"/>
      <alignment horizontal="right"/>
    </dxf>
    <dxf>
      <font>
        <name val="Aptos"/>
      </font>
      <numFmt numFmtId="165" formatCode="\₹#,##0;[Red]\-\₹#,##0"/>
      <alignment horizontal="right"/>
    </dxf>
    <dxf>
      <font>
        <name val="Aptos"/>
      </font>
      <numFmt numFmtId="165" formatCode="\₹#,##0;[Red]\-\₹#,##0"/>
      <alignment horizontal="right"/>
    </dxf>
    <dxf>
      <font>
        <name val="Aptos"/>
      </font>
      <numFmt numFmtId="165" formatCode="\₹#,##0;[Red]\-\₹#,##0"/>
      <alignment horizontal="right"/>
    </dxf>
    <dxf>
      <font>
        <name val="Aptos"/>
      </font>
      <numFmt numFmtId="164" formatCode="dd\-mmm\-yyyy"/>
      <alignment horizontal="right"/>
    </dxf>
    <dxf>
      <font>
        <name val="Aptos"/>
      </font>
      <alignment wrapText="1"/>
    </dxf>
    <dxf>
      <font>
        <name val="Aptos"/>
      </font>
      <alignment wrapText="1"/>
    </dxf>
    <dxf>
      <font>
        <name val="Aptos"/>
      </font>
      <alignment wrapText="1"/>
    </dxf>
    <dxf>
      <font>
        <b/>
        <color rgb="FFFFFFFF"/>
        <name val="Aptos"/>
      </font>
      <fill>
        <patternFill patternType="solid">
          <fgColor indexed="64"/>
          <bgColor rgb="FF17365D"/>
        </patternFill>
      </fill>
    </dxf>
    <dxf>
      <font>
        <name val="Aptos"/>
      </font>
    </dxf>
    <dxf>
      <font>
        <name val="Aptos"/>
      </font>
    </dxf>
    <dxf>
      <font>
        <name val="Aptos"/>
      </font>
    </dxf>
    <dxf>
      <font>
        <name val="Aptos"/>
      </font>
    </dxf>
    <dxf>
      <font>
        <name val="Aptos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 Income, Expense &amp; Net Balance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Dashboard!$B$11</c:f>
              <c:strCache>
                <c:ptCount val="1"/>
                <c:pt idx="0">
                  <c:v>Income</c:v>
                </c:pt>
              </c:strCache>
            </c:strRef>
          </c:tx>
          <c:spPr>
            <a:solidFill>
              <a:srgbClr val="4472C4"/>
            </a:solidFill>
            <a:ln>
              <a:noFill/>
            </a:ln>
            <a:effectLst/>
          </c:spPr>
          <c:invertIfNegative val="0"/>
          <c:cat>
            <c:numRef>
              <c:f>Dashboard!$A$12:$A$23</c:f>
              <c:numCache>
                <c:formatCode>mmm\ yyyy</c:formatCode>
                <c:ptCount val="12"/>
                <c:pt idx="0">
                  <c:v>46296</c:v>
                </c:pt>
                <c:pt idx="1">
                  <c:v>46327</c:v>
                </c:pt>
                <c:pt idx="2">
                  <c:v>46357</c:v>
                </c:pt>
                <c:pt idx="3">
                  <c:v>46388</c:v>
                </c:pt>
                <c:pt idx="4">
                  <c:v>46419</c:v>
                </c:pt>
                <c:pt idx="5">
                  <c:v>46447</c:v>
                </c:pt>
                <c:pt idx="6">
                  <c:v>46478</c:v>
                </c:pt>
                <c:pt idx="7">
                  <c:v>46508</c:v>
                </c:pt>
                <c:pt idx="8">
                  <c:v>46539</c:v>
                </c:pt>
                <c:pt idx="9">
                  <c:v>46569</c:v>
                </c:pt>
                <c:pt idx="10">
                  <c:v>46600</c:v>
                </c:pt>
                <c:pt idx="11">
                  <c:v>46631</c:v>
                </c:pt>
              </c:numCache>
            </c:numRef>
          </c:cat>
          <c:val>
            <c:numRef>
              <c:f>Dashboard!$B$12:$B$23</c:f>
              <c:numCache>
                <c:formatCode>\₹#,##0;[Red]\-\₹#,##0</c:formatCode>
                <c:ptCount val="12"/>
                <c:pt idx="0">
                  <c:v>51000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1AB-9047-96CA-631F5739CC43}"/>
            </c:ext>
          </c:extLst>
        </c:ser>
        <c:ser>
          <c:idx val="1"/>
          <c:order val="1"/>
          <c:tx>
            <c:strRef>
              <c:f>Dashboard!$C$11</c:f>
              <c:strCache>
                <c:ptCount val="1"/>
                <c:pt idx="0">
                  <c:v>Expense</c:v>
                </c:pt>
              </c:strCache>
            </c:strRef>
          </c:tx>
          <c:spPr>
            <a:solidFill>
              <a:srgbClr val="C55A11"/>
            </a:solidFill>
            <a:ln>
              <a:noFill/>
            </a:ln>
            <a:effectLst/>
          </c:spPr>
          <c:invertIfNegative val="0"/>
          <c:cat>
            <c:numRef>
              <c:f>Dashboard!$A$12:$A$23</c:f>
              <c:numCache>
                <c:formatCode>mmm\ yyyy</c:formatCode>
                <c:ptCount val="12"/>
                <c:pt idx="0">
                  <c:v>46296</c:v>
                </c:pt>
                <c:pt idx="1">
                  <c:v>46327</c:v>
                </c:pt>
                <c:pt idx="2">
                  <c:v>46357</c:v>
                </c:pt>
                <c:pt idx="3">
                  <c:v>46388</c:v>
                </c:pt>
                <c:pt idx="4">
                  <c:v>46419</c:v>
                </c:pt>
                <c:pt idx="5">
                  <c:v>46447</c:v>
                </c:pt>
                <c:pt idx="6">
                  <c:v>46478</c:v>
                </c:pt>
                <c:pt idx="7">
                  <c:v>46508</c:v>
                </c:pt>
                <c:pt idx="8">
                  <c:v>46539</c:v>
                </c:pt>
                <c:pt idx="9">
                  <c:v>46569</c:v>
                </c:pt>
                <c:pt idx="10">
                  <c:v>46600</c:v>
                </c:pt>
                <c:pt idx="11">
                  <c:v>46631</c:v>
                </c:pt>
              </c:numCache>
            </c:numRef>
          </c:cat>
          <c:val>
            <c:numRef>
              <c:f>Dashboard!$C$12:$C$23</c:f>
              <c:numCache>
                <c:formatCode>\₹#,##0;[Red]\-\₹#,##0</c:formatCode>
                <c:ptCount val="12"/>
                <c:pt idx="0">
                  <c:v>7000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1AB-9047-96CA-631F5739CC43}"/>
            </c:ext>
          </c:extLst>
        </c:ser>
        <c:ser>
          <c:idx val="2"/>
          <c:order val="2"/>
          <c:tx>
            <c:strRef>
              <c:f>Dashboard!$D$11</c:f>
              <c:strCache>
                <c:ptCount val="1"/>
                <c:pt idx="0">
                  <c:v>Net</c:v>
                </c:pt>
              </c:strCache>
            </c:strRef>
          </c:tx>
          <c:spPr>
            <a:solidFill>
              <a:srgbClr val="548235"/>
            </a:solidFill>
            <a:ln>
              <a:noFill/>
            </a:ln>
            <a:effectLst/>
          </c:spPr>
          <c:invertIfNegative val="0"/>
          <c:cat>
            <c:numRef>
              <c:f>Dashboard!$A$12:$A$23</c:f>
              <c:numCache>
                <c:formatCode>mmm\ yyyy</c:formatCode>
                <c:ptCount val="12"/>
                <c:pt idx="0">
                  <c:v>46296</c:v>
                </c:pt>
                <c:pt idx="1">
                  <c:v>46327</c:v>
                </c:pt>
                <c:pt idx="2">
                  <c:v>46357</c:v>
                </c:pt>
                <c:pt idx="3">
                  <c:v>46388</c:v>
                </c:pt>
                <c:pt idx="4">
                  <c:v>46419</c:v>
                </c:pt>
                <c:pt idx="5">
                  <c:v>46447</c:v>
                </c:pt>
                <c:pt idx="6">
                  <c:v>46478</c:v>
                </c:pt>
                <c:pt idx="7">
                  <c:v>46508</c:v>
                </c:pt>
                <c:pt idx="8">
                  <c:v>46539</c:v>
                </c:pt>
                <c:pt idx="9">
                  <c:v>46569</c:v>
                </c:pt>
                <c:pt idx="10">
                  <c:v>46600</c:v>
                </c:pt>
                <c:pt idx="11">
                  <c:v>46631</c:v>
                </c:pt>
              </c:numCache>
            </c:numRef>
          </c:cat>
          <c:val>
            <c:numRef>
              <c:f>Dashboard!$D$12:$D$23</c:f>
              <c:numCache>
                <c:formatCode>\₹#,##0;[Red]\-\₹#,##0</c:formatCode>
                <c:ptCount val="12"/>
                <c:pt idx="0">
                  <c:v>44000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1AB-9047-96CA-631F5739CC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63820992"/>
        <c:axId val="263822784"/>
      </c:barChart>
      <c:dateAx>
        <c:axId val="263820992"/>
        <c:scaling>
          <c:orientation val="minMax"/>
        </c:scaling>
        <c:delete val="0"/>
        <c:axPos val="b"/>
        <c:numFmt formatCode="mmm\ 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27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3822784"/>
        <c:crosses val="autoZero"/>
        <c:auto val="1"/>
        <c:lblOffset val="100"/>
        <c:baseTimeUnit val="months"/>
      </c:dateAx>
      <c:valAx>
        <c:axId val="263822784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\₹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38209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FFFFF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10</xdr:row>
      <xdr:rowOff>0</xdr:rowOff>
    </xdr:from>
    <xdr:to>
      <xdr:col>14</xdr:col>
      <xdr:colOff>0</xdr:colOff>
      <xdr:row>24</xdr:row>
      <xdr:rowOff>0</xdr:rowOff>
    </xdr:to>
    <xdr:graphicFrame macro="">
      <xdr:nvGraphicFramePr>
        <xdr:cNvPr id="2" name="Monthly Income Expense and Net">
          <a:extLst>
            <a:ext uri="{FF2B5EF4-FFF2-40B4-BE49-F238E27FC236}">
              <a16:creationId xmlns:a16="http://schemas.microsoft.com/office/drawing/2014/main" id="{058ACCBB-7EF5-128E-AD2A-92E8606329C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460F979-E88A-9042-87F6-B93664B92E51}" name="tblLedger" displayName="tblLedger" ref="A1:L12" totalsRowShown="0" headerRowDxfId="8" dataDxfId="9">
  <autoFilter ref="A1:L12" xr:uid="{1460F979-E88A-9042-87F6-B93664B92E51}"/>
  <tableColumns count="12">
    <tableColumn id="1" xr3:uid="{4A9DF3EC-8DA1-2748-ACD3-B4A19E2C9AFA}" name="Date" dataDxfId="4"/>
    <tableColumn id="2" xr3:uid="{2F7515BF-A380-EC4F-8FFC-BC943D6A1A1A}" name="Day" dataDxfId="13"/>
    <tableColumn id="3" xr3:uid="{AA85D475-7953-8E42-9813-A23EB821DFDB}" name="Type" dataDxfId="12"/>
    <tableColumn id="4" xr3:uid="{16D10201-B48C-A646-BEAA-59CD0A4FD050}" name="Category" dataDxfId="7"/>
    <tableColumn id="5" xr3:uid="{07E8E99B-7B36-E440-99BC-3AB74C323B02}" name="Description" dataDxfId="6"/>
    <tableColumn id="6" xr3:uid="{4D4B23AB-0D46-8C4F-A6F4-57EBD7ACEC72}" name="Slot" dataDxfId="11"/>
    <tableColumn id="7" xr3:uid="{9C1C042C-CDA1-4244-B860-5E7DEE55AF06}" name="Party" dataDxfId="10"/>
    <tableColumn id="8" xr3:uid="{99F976E5-E276-584B-9ADA-3F1A99C03A5D}" name="Income" dataDxfId="3"/>
    <tableColumn id="9" xr3:uid="{89CB13F3-E50A-E54F-BDAB-C40444156D2A}" name="Expense" dataDxfId="2"/>
    <tableColumn id="10" xr3:uid="{1D4B025C-F1AC-744E-A6D2-95BDB442057C}" name="Net" dataDxfId="1">
      <calculatedColumnFormula>H2-I2</calculatedColumnFormula>
    </tableColumn>
    <tableColumn id="11" xr3:uid="{0EC1CFAE-8D94-A746-9A0D-53A0A85A46F0}" name="Running Balance" dataDxfId="0">
      <calculatedColumnFormula>SUM($J$2:J2)</calculatedColumnFormula>
    </tableColumn>
    <tableColumn id="12" xr3:uid="{58EA836D-BA62-144E-B2BD-02B55EB5C3E0}" name="Notes" dataDxfId="5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EA44DB-9694-EE42-BB91-4D15AF7F586B}">
  <dimension ref="A1:H29"/>
  <sheetViews>
    <sheetView workbookViewId="0">
      <selection activeCell="B4" sqref="B4"/>
    </sheetView>
  </sheetViews>
  <sheetFormatPr baseColWidth="10" defaultRowHeight="16" x14ac:dyDescent="0.2"/>
  <cols>
    <col min="1" max="1" width="28.33203125" customWidth="1"/>
    <col min="2" max="4" width="15" customWidth="1"/>
    <col min="6" max="6" width="3" customWidth="1"/>
    <col min="7" max="8" width="15.83203125" customWidth="1"/>
  </cols>
  <sheetData>
    <row r="1" spans="1:8" x14ac:dyDescent="0.2">
      <c r="A1" s="5" t="s">
        <v>38</v>
      </c>
      <c r="B1" s="5"/>
      <c r="C1" s="5"/>
      <c r="D1" s="5"/>
      <c r="E1" s="5"/>
      <c r="F1" s="5"/>
      <c r="G1" s="5"/>
      <c r="H1" s="5"/>
    </row>
    <row r="2" spans="1:8" x14ac:dyDescent="0.2">
      <c r="A2" s="5"/>
      <c r="B2" s="5"/>
      <c r="C2" s="5"/>
      <c r="D2" s="5"/>
      <c r="E2" s="5"/>
      <c r="F2" s="5"/>
      <c r="G2" s="5"/>
      <c r="H2" s="5"/>
    </row>
    <row r="3" spans="1:8" x14ac:dyDescent="0.2">
      <c r="A3" s="1"/>
      <c r="B3" s="1"/>
      <c r="C3" s="1"/>
      <c r="D3" s="1"/>
      <c r="E3" s="1"/>
      <c r="F3" s="1"/>
      <c r="G3" s="1"/>
      <c r="H3" s="1"/>
    </row>
    <row r="4" spans="1:8" x14ac:dyDescent="0.2">
      <c r="A4" s="1" t="s">
        <v>39</v>
      </c>
      <c r="B4" s="2">
        <v>46296</v>
      </c>
      <c r="C4" s="1"/>
      <c r="D4" s="1"/>
      <c r="E4" s="1"/>
      <c r="F4" s="1"/>
      <c r="G4" s="1"/>
      <c r="H4" s="1"/>
    </row>
    <row r="5" spans="1:8" x14ac:dyDescent="0.2">
      <c r="A5" s="1"/>
      <c r="B5" s="1"/>
      <c r="C5" s="1"/>
      <c r="D5" s="1"/>
      <c r="E5" s="1"/>
      <c r="F5" s="1"/>
      <c r="G5" s="1"/>
      <c r="H5" s="1"/>
    </row>
    <row r="6" spans="1:8" x14ac:dyDescent="0.2">
      <c r="A6" s="6" t="s">
        <v>40</v>
      </c>
      <c r="B6" s="6"/>
      <c r="C6" s="7"/>
      <c r="D6" s="8" t="s">
        <v>41</v>
      </c>
      <c r="E6" s="8"/>
      <c r="F6" s="7"/>
      <c r="G6" s="9" t="s">
        <v>42</v>
      </c>
      <c r="H6" s="9"/>
    </row>
    <row r="7" spans="1:8" ht="24" x14ac:dyDescent="0.2">
      <c r="A7" s="10">
        <f>SUMIFS(tblLedger[Income],tblLedger[Date],"&gt;="&amp;$B$4,tblLedger[Date],"&lt;"&amp;EDATE($B$4,1))</f>
        <v>51000</v>
      </c>
      <c r="B7" s="10"/>
      <c r="C7" s="11"/>
      <c r="D7" s="12">
        <f>SUMIFS(tblLedger[Expense],tblLedger[Date],"&gt;="&amp;$B$4,tblLedger[Date],"&lt;"&amp;EDATE($B$4,1))</f>
        <v>7000</v>
      </c>
      <c r="E7" s="12"/>
      <c r="F7" s="11"/>
      <c r="G7" s="13">
        <f>A7-D7</f>
        <v>44000</v>
      </c>
      <c r="H7" s="13"/>
    </row>
    <row r="8" spans="1:8" ht="24" x14ac:dyDescent="0.2">
      <c r="A8" s="10"/>
      <c r="B8" s="10"/>
      <c r="C8" s="11"/>
      <c r="D8" s="12"/>
      <c r="E8" s="12"/>
      <c r="F8" s="11"/>
      <c r="G8" s="13"/>
      <c r="H8" s="13"/>
    </row>
    <row r="9" spans="1:8" x14ac:dyDescent="0.2">
      <c r="A9" s="1"/>
      <c r="B9" s="1"/>
      <c r="C9" s="1"/>
      <c r="D9" s="1"/>
      <c r="E9" s="1"/>
      <c r="F9" s="1"/>
      <c r="G9" s="1"/>
      <c r="H9" s="1"/>
    </row>
    <row r="10" spans="1:8" x14ac:dyDescent="0.2">
      <c r="A10" s="1"/>
      <c r="B10" s="1"/>
      <c r="C10" s="1"/>
      <c r="D10" s="1"/>
      <c r="E10" s="1"/>
      <c r="F10" s="1"/>
      <c r="G10" s="1"/>
      <c r="H10" s="1"/>
    </row>
    <row r="11" spans="1:8" x14ac:dyDescent="0.2">
      <c r="A11" s="14" t="s">
        <v>43</v>
      </c>
      <c r="B11" s="14" t="s">
        <v>7</v>
      </c>
      <c r="C11" s="14" t="s">
        <v>8</v>
      </c>
      <c r="D11" s="14" t="s">
        <v>9</v>
      </c>
      <c r="E11" s="1"/>
      <c r="F11" s="1"/>
      <c r="G11" s="1"/>
      <c r="H11" s="1"/>
    </row>
    <row r="12" spans="1:8" x14ac:dyDescent="0.2">
      <c r="A12" s="16">
        <v>46296</v>
      </c>
      <c r="B12" s="17">
        <f>SUMIFS(tblLedger[Income],tblLedger[Date],"&gt;="&amp;A12,tblLedger[Date],"&lt;"&amp;EDATE(A12,1))</f>
        <v>51000</v>
      </c>
      <c r="C12" s="17">
        <f>SUMIFS(tblLedger[Expense],tblLedger[Date],"&gt;="&amp;A12,tblLedger[Date],"&lt;"&amp;EDATE(A12,1))</f>
        <v>7000</v>
      </c>
      <c r="D12" s="17">
        <f>B12-C12</f>
        <v>44000</v>
      </c>
      <c r="E12" s="1"/>
      <c r="F12" s="1"/>
      <c r="G12" s="1"/>
      <c r="H12" s="1"/>
    </row>
    <row r="13" spans="1:8" x14ac:dyDescent="0.2">
      <c r="A13" s="16">
        <v>46327</v>
      </c>
      <c r="B13" s="17">
        <f>SUMIFS(tblLedger[Income],tblLedger[Date],"&gt;="&amp;A13,tblLedger[Date],"&lt;"&amp;EDATE(A13,1))</f>
        <v>0</v>
      </c>
      <c r="C13" s="17">
        <f>SUMIFS(tblLedger[Expense],tblLedger[Date],"&gt;="&amp;A13,tblLedger[Date],"&lt;"&amp;EDATE(A13,1))</f>
        <v>0</v>
      </c>
      <c r="D13" s="17">
        <f t="shared" ref="D13:D23" si="0">B13-C13</f>
        <v>0</v>
      </c>
      <c r="E13" s="1"/>
      <c r="F13" s="1"/>
      <c r="G13" s="1"/>
      <c r="H13" s="1"/>
    </row>
    <row r="14" spans="1:8" x14ac:dyDescent="0.2">
      <c r="A14" s="16">
        <v>46357</v>
      </c>
      <c r="B14" s="17">
        <f>SUMIFS(tblLedger[Income],tblLedger[Date],"&gt;="&amp;A14,tblLedger[Date],"&lt;"&amp;EDATE(A14,1))</f>
        <v>0</v>
      </c>
      <c r="C14" s="17">
        <f>SUMIFS(tblLedger[Expense],tblLedger[Date],"&gt;="&amp;A14,tblLedger[Date],"&lt;"&amp;EDATE(A14,1))</f>
        <v>0</v>
      </c>
      <c r="D14" s="17">
        <f t="shared" si="0"/>
        <v>0</v>
      </c>
      <c r="E14" s="1"/>
      <c r="F14" s="1"/>
      <c r="G14" s="1"/>
      <c r="H14" s="1"/>
    </row>
    <row r="15" spans="1:8" x14ac:dyDescent="0.2">
      <c r="A15" s="16">
        <v>46388</v>
      </c>
      <c r="B15" s="17">
        <f>SUMIFS(tblLedger[Income],tblLedger[Date],"&gt;="&amp;A15,tblLedger[Date],"&lt;"&amp;EDATE(A15,1))</f>
        <v>0</v>
      </c>
      <c r="C15" s="17">
        <f>SUMIFS(tblLedger[Expense],tblLedger[Date],"&gt;="&amp;A15,tblLedger[Date],"&lt;"&amp;EDATE(A15,1))</f>
        <v>0</v>
      </c>
      <c r="D15" s="17">
        <f t="shared" si="0"/>
        <v>0</v>
      </c>
      <c r="E15" s="1"/>
      <c r="F15" s="1"/>
      <c r="G15" s="1"/>
      <c r="H15" s="1"/>
    </row>
    <row r="16" spans="1:8" x14ac:dyDescent="0.2">
      <c r="A16" s="16">
        <v>46419</v>
      </c>
      <c r="B16" s="17">
        <f>SUMIFS(tblLedger[Income],tblLedger[Date],"&gt;="&amp;A16,tblLedger[Date],"&lt;"&amp;EDATE(A16,1))</f>
        <v>0</v>
      </c>
      <c r="C16" s="17">
        <f>SUMIFS(tblLedger[Expense],tblLedger[Date],"&gt;="&amp;A16,tblLedger[Date],"&lt;"&amp;EDATE(A16,1))</f>
        <v>0</v>
      </c>
      <c r="D16" s="17">
        <f t="shared" si="0"/>
        <v>0</v>
      </c>
      <c r="E16" s="1"/>
      <c r="F16" s="1"/>
      <c r="G16" s="1"/>
      <c r="H16" s="1"/>
    </row>
    <row r="17" spans="1:8" x14ac:dyDescent="0.2">
      <c r="A17" s="16">
        <v>46447</v>
      </c>
      <c r="B17" s="17">
        <f>SUMIFS(tblLedger[Income],tblLedger[Date],"&gt;="&amp;A17,tblLedger[Date],"&lt;"&amp;EDATE(A17,1))</f>
        <v>0</v>
      </c>
      <c r="C17" s="17">
        <f>SUMIFS(tblLedger[Expense],tblLedger[Date],"&gt;="&amp;A17,tblLedger[Date],"&lt;"&amp;EDATE(A17,1))</f>
        <v>0</v>
      </c>
      <c r="D17" s="17">
        <f t="shared" si="0"/>
        <v>0</v>
      </c>
      <c r="E17" s="1"/>
      <c r="F17" s="1"/>
      <c r="G17" s="1"/>
      <c r="H17" s="1"/>
    </row>
    <row r="18" spans="1:8" x14ac:dyDescent="0.2">
      <c r="A18" s="16">
        <v>46478</v>
      </c>
      <c r="B18" s="17">
        <f>SUMIFS(tblLedger[Income],tblLedger[Date],"&gt;="&amp;A18,tblLedger[Date],"&lt;"&amp;EDATE(A18,1))</f>
        <v>0</v>
      </c>
      <c r="C18" s="17">
        <f>SUMIFS(tblLedger[Expense],tblLedger[Date],"&gt;="&amp;A18,tblLedger[Date],"&lt;"&amp;EDATE(A18,1))</f>
        <v>0</v>
      </c>
      <c r="D18" s="17">
        <f t="shared" si="0"/>
        <v>0</v>
      </c>
      <c r="E18" s="1"/>
      <c r="F18" s="1"/>
      <c r="G18" s="1"/>
      <c r="H18" s="1"/>
    </row>
    <row r="19" spans="1:8" x14ac:dyDescent="0.2">
      <c r="A19" s="16">
        <v>46508</v>
      </c>
      <c r="B19" s="17">
        <f>SUMIFS(tblLedger[Income],tblLedger[Date],"&gt;="&amp;A19,tblLedger[Date],"&lt;"&amp;EDATE(A19,1))</f>
        <v>0</v>
      </c>
      <c r="C19" s="17">
        <f>SUMIFS(tblLedger[Expense],tblLedger[Date],"&gt;="&amp;A19,tblLedger[Date],"&lt;"&amp;EDATE(A19,1))</f>
        <v>0</v>
      </c>
      <c r="D19" s="17">
        <f t="shared" si="0"/>
        <v>0</v>
      </c>
      <c r="E19" s="1"/>
      <c r="F19" s="1"/>
      <c r="G19" s="1"/>
      <c r="H19" s="1"/>
    </row>
    <row r="20" spans="1:8" x14ac:dyDescent="0.2">
      <c r="A20" s="16">
        <v>46539</v>
      </c>
      <c r="B20" s="17">
        <f>SUMIFS(tblLedger[Income],tblLedger[Date],"&gt;="&amp;A20,tblLedger[Date],"&lt;"&amp;EDATE(A20,1))</f>
        <v>0</v>
      </c>
      <c r="C20" s="17">
        <f>SUMIFS(tblLedger[Expense],tblLedger[Date],"&gt;="&amp;A20,tblLedger[Date],"&lt;"&amp;EDATE(A20,1))</f>
        <v>0</v>
      </c>
      <c r="D20" s="17">
        <f t="shared" si="0"/>
        <v>0</v>
      </c>
      <c r="E20" s="1"/>
      <c r="F20" s="1"/>
      <c r="G20" s="1"/>
      <c r="H20" s="1"/>
    </row>
    <row r="21" spans="1:8" x14ac:dyDescent="0.2">
      <c r="A21" s="16">
        <v>46569</v>
      </c>
      <c r="B21" s="17">
        <f>SUMIFS(tblLedger[Income],tblLedger[Date],"&gt;="&amp;A21,tblLedger[Date],"&lt;"&amp;EDATE(A21,1))</f>
        <v>0</v>
      </c>
      <c r="C21" s="17">
        <f>SUMIFS(tblLedger[Expense],tblLedger[Date],"&gt;="&amp;A21,tblLedger[Date],"&lt;"&amp;EDATE(A21,1))</f>
        <v>0</v>
      </c>
      <c r="D21" s="17">
        <f t="shared" si="0"/>
        <v>0</v>
      </c>
      <c r="E21" s="1"/>
      <c r="F21" s="1"/>
      <c r="G21" s="1"/>
      <c r="H21" s="1"/>
    </row>
    <row r="22" spans="1:8" x14ac:dyDescent="0.2">
      <c r="A22" s="16">
        <v>46600</v>
      </c>
      <c r="B22" s="17">
        <f>SUMIFS(tblLedger[Income],tblLedger[Date],"&gt;="&amp;A22,tblLedger[Date],"&lt;"&amp;EDATE(A22,1))</f>
        <v>0</v>
      </c>
      <c r="C22" s="17">
        <f>SUMIFS(tblLedger[Expense],tblLedger[Date],"&gt;="&amp;A22,tblLedger[Date],"&lt;"&amp;EDATE(A22,1))</f>
        <v>0</v>
      </c>
      <c r="D22" s="17">
        <f t="shared" si="0"/>
        <v>0</v>
      </c>
      <c r="E22" s="1"/>
      <c r="F22" s="1"/>
      <c r="G22" s="1"/>
      <c r="H22" s="1"/>
    </row>
    <row r="23" spans="1:8" x14ac:dyDescent="0.2">
      <c r="A23" s="18">
        <v>46631</v>
      </c>
      <c r="B23" s="19">
        <f>SUMIFS(tblLedger[Income],tblLedger[Date],"&gt;="&amp;A23,tblLedger[Date],"&lt;"&amp;EDATE(A23,1))</f>
        <v>0</v>
      </c>
      <c r="C23" s="19">
        <f>SUMIFS(tblLedger[Expense],tblLedger[Date],"&gt;="&amp;A23,tblLedger[Date],"&lt;"&amp;EDATE(A23,1))</f>
        <v>0</v>
      </c>
      <c r="D23" s="19">
        <f t="shared" si="0"/>
        <v>0</v>
      </c>
      <c r="E23" s="1"/>
      <c r="F23" s="1"/>
      <c r="G23" s="1"/>
      <c r="H23" s="1"/>
    </row>
    <row r="24" spans="1:8" x14ac:dyDescent="0.2">
      <c r="A24" s="1"/>
      <c r="B24" s="1"/>
      <c r="C24" s="1"/>
      <c r="D24" s="1"/>
      <c r="E24" s="1"/>
      <c r="F24" s="1"/>
      <c r="G24" s="1"/>
      <c r="H24" s="1"/>
    </row>
    <row r="25" spans="1:8" x14ac:dyDescent="0.2">
      <c r="A25" s="1"/>
      <c r="B25" s="1"/>
      <c r="C25" s="1"/>
      <c r="D25" s="1"/>
      <c r="E25" s="1"/>
      <c r="F25" s="1"/>
      <c r="G25" s="1"/>
      <c r="H25" s="1"/>
    </row>
    <row r="26" spans="1:8" x14ac:dyDescent="0.2">
      <c r="A26" s="15" t="s">
        <v>44</v>
      </c>
      <c r="B26" s="15" t="s">
        <v>45</v>
      </c>
      <c r="C26" s="15" t="s">
        <v>46</v>
      </c>
      <c r="D26" s="15" t="s">
        <v>47</v>
      </c>
      <c r="E26" s="1"/>
      <c r="F26" s="1"/>
      <c r="G26" s="1"/>
      <c r="H26" s="1"/>
    </row>
    <row r="27" spans="1:8" x14ac:dyDescent="0.2">
      <c r="A27" s="1" t="s">
        <v>48</v>
      </c>
      <c r="B27" s="1" t="s">
        <v>49</v>
      </c>
      <c r="C27" s="3">
        <v>1000</v>
      </c>
      <c r="D27" s="1" t="s">
        <v>50</v>
      </c>
      <c r="E27" s="1"/>
      <c r="F27" s="1"/>
      <c r="G27" s="1"/>
      <c r="H27" s="1"/>
    </row>
    <row r="28" spans="1:8" x14ac:dyDescent="0.2">
      <c r="A28" s="1" t="s">
        <v>51</v>
      </c>
      <c r="B28" s="1" t="s">
        <v>49</v>
      </c>
      <c r="C28" s="3">
        <v>1000</v>
      </c>
      <c r="D28" s="1" t="s">
        <v>50</v>
      </c>
      <c r="E28" s="1"/>
      <c r="F28" s="1"/>
      <c r="G28" s="1"/>
      <c r="H28" s="1"/>
    </row>
    <row r="29" spans="1:8" x14ac:dyDescent="0.2">
      <c r="A29" s="1" t="s">
        <v>52</v>
      </c>
      <c r="B29" s="1" t="s">
        <v>37</v>
      </c>
      <c r="C29" s="3">
        <v>5000</v>
      </c>
      <c r="D29" s="1" t="s">
        <v>50</v>
      </c>
      <c r="E29" s="1"/>
      <c r="F29" s="1"/>
      <c r="G29" s="1"/>
      <c r="H29" s="1"/>
    </row>
  </sheetData>
  <mergeCells count="7">
    <mergeCell ref="A1:H2"/>
    <mergeCell ref="A6:B6"/>
    <mergeCell ref="A7:B8"/>
    <mergeCell ref="D6:E6"/>
    <mergeCell ref="D7:E8"/>
    <mergeCell ref="G6:H6"/>
    <mergeCell ref="G7:H8"/>
  </mergeCells>
  <conditionalFormatting sqref="D12:D23">
    <cfRule type="colorScale" priority="1">
      <colorScale>
        <cfvo type="min"/>
        <cfvo type="num" val="0"/>
        <cfvo type="max"/>
        <color rgb="FFF4CCCC"/>
        <color rgb="FFFFF2CC"/>
        <color rgb="FFD9EAD3"/>
      </colorScale>
    </cfRule>
  </conditionalFormatting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088A5F-76C6-E545-831A-2E93AB0F0784}">
  <dimension ref="A1:L12"/>
  <sheetViews>
    <sheetView tabSelected="1" zoomScale="110" zoomScaleNormal="110" workbookViewId="0">
      <selection activeCell="H4" sqref="H4"/>
    </sheetView>
  </sheetViews>
  <sheetFormatPr baseColWidth="10" defaultRowHeight="16" x14ac:dyDescent="0.2"/>
  <cols>
    <col min="1" max="1" width="11.6640625" bestFit="1" customWidth="1"/>
    <col min="2" max="2" width="8.83203125" bestFit="1" customWidth="1"/>
    <col min="3" max="3" width="8.6640625" customWidth="1"/>
    <col min="4" max="5" width="25" style="24" customWidth="1"/>
    <col min="6" max="6" width="10.83203125" customWidth="1"/>
    <col min="7" max="7" width="19.1640625" customWidth="1"/>
    <col min="9" max="9" width="11.5" bestFit="1" customWidth="1"/>
    <col min="10" max="10" width="8.1640625" bestFit="1" customWidth="1"/>
    <col min="11" max="11" width="19.33203125" bestFit="1" customWidth="1"/>
    <col min="12" max="12" width="36.6640625" style="24" customWidth="1"/>
  </cols>
  <sheetData>
    <row r="1" spans="1:12" ht="17" x14ac:dyDescent="0.2">
      <c r="A1" s="14" t="s">
        <v>0</v>
      </c>
      <c r="B1" s="14" t="s">
        <v>1</v>
      </c>
      <c r="C1" s="14" t="s">
        <v>2</v>
      </c>
      <c r="D1" s="22" t="s">
        <v>3</v>
      </c>
      <c r="E1" s="22" t="s">
        <v>4</v>
      </c>
      <c r="F1" s="14" t="s">
        <v>5</v>
      </c>
      <c r="G1" s="14" t="s">
        <v>6</v>
      </c>
      <c r="H1" s="14" t="s">
        <v>7</v>
      </c>
      <c r="I1" s="14" t="s">
        <v>8</v>
      </c>
      <c r="J1" s="14" t="s">
        <v>9</v>
      </c>
      <c r="K1" s="14" t="s">
        <v>10</v>
      </c>
      <c r="L1" s="22" t="s">
        <v>11</v>
      </c>
    </row>
    <row r="2" spans="1:12" ht="34" x14ac:dyDescent="0.2">
      <c r="A2" s="26">
        <v>46296</v>
      </c>
      <c r="B2" s="14" t="s">
        <v>53</v>
      </c>
      <c r="C2" s="14" t="s">
        <v>54</v>
      </c>
      <c r="D2" s="22" t="s">
        <v>55</v>
      </c>
      <c r="E2" s="22" t="s">
        <v>56</v>
      </c>
      <c r="F2" s="14"/>
      <c r="G2" s="14"/>
      <c r="H2" s="27">
        <v>0</v>
      </c>
      <c r="I2" s="27">
        <v>0</v>
      </c>
      <c r="J2" s="27">
        <f>H2-I2</f>
        <v>0</v>
      </c>
      <c r="K2" s="27">
        <f>J2</f>
        <v>0</v>
      </c>
      <c r="L2" s="22" t="s">
        <v>57</v>
      </c>
    </row>
    <row r="3" spans="1:12" ht="17" x14ac:dyDescent="0.2">
      <c r="A3" s="21">
        <v>46297</v>
      </c>
      <c r="B3" s="1" t="s">
        <v>12</v>
      </c>
      <c r="C3" s="1" t="s">
        <v>7</v>
      </c>
      <c r="D3" s="23" t="s">
        <v>13</v>
      </c>
      <c r="E3" s="23" t="s">
        <v>14</v>
      </c>
      <c r="F3" s="4">
        <v>0.29166666666666669</v>
      </c>
      <c r="G3" s="1" t="s">
        <v>15</v>
      </c>
      <c r="H3" s="20">
        <v>7000</v>
      </c>
      <c r="I3" s="20">
        <v>0</v>
      </c>
      <c r="J3" s="20">
        <f t="shared" ref="J3:J12" si="0">H3-I3</f>
        <v>7000</v>
      </c>
      <c r="K3" s="20">
        <f>K2+J3</f>
        <v>7000</v>
      </c>
      <c r="L3" s="23"/>
    </row>
    <row r="4" spans="1:12" ht="17" x14ac:dyDescent="0.2">
      <c r="A4" s="21">
        <v>46297</v>
      </c>
      <c r="B4" s="1" t="s">
        <v>12</v>
      </c>
      <c r="C4" s="1" t="s">
        <v>7</v>
      </c>
      <c r="D4" s="23" t="s">
        <v>13</v>
      </c>
      <c r="E4" s="23" t="s">
        <v>16</v>
      </c>
      <c r="F4" s="4">
        <v>0.44791666666666669</v>
      </c>
      <c r="G4" s="1" t="s">
        <v>15</v>
      </c>
      <c r="H4" s="20">
        <v>6000</v>
      </c>
      <c r="I4" s="20">
        <v>0</v>
      </c>
      <c r="J4" s="20">
        <f t="shared" si="0"/>
        <v>6000</v>
      </c>
      <c r="K4" s="20">
        <f t="shared" ref="K4:K12" si="1">K3+J4</f>
        <v>13000</v>
      </c>
      <c r="L4" s="23"/>
    </row>
    <row r="5" spans="1:12" ht="17" x14ac:dyDescent="0.2">
      <c r="A5" s="21">
        <v>46297</v>
      </c>
      <c r="B5" s="1" t="s">
        <v>12</v>
      </c>
      <c r="C5" s="1" t="s">
        <v>7</v>
      </c>
      <c r="D5" s="23" t="s">
        <v>13</v>
      </c>
      <c r="E5" s="23" t="s">
        <v>17</v>
      </c>
      <c r="F5" s="4">
        <v>0.60416666666666663</v>
      </c>
      <c r="G5" s="1" t="s">
        <v>15</v>
      </c>
      <c r="H5" s="20">
        <v>6000</v>
      </c>
      <c r="I5" s="20">
        <v>0</v>
      </c>
      <c r="J5" s="20">
        <f t="shared" si="0"/>
        <v>6000</v>
      </c>
      <c r="K5" s="20">
        <f t="shared" si="1"/>
        <v>19000</v>
      </c>
      <c r="L5" s="23"/>
    </row>
    <row r="6" spans="1:12" ht="34" x14ac:dyDescent="0.2">
      <c r="A6" s="21">
        <v>46297</v>
      </c>
      <c r="B6" s="1" t="s">
        <v>12</v>
      </c>
      <c r="C6" s="1" t="s">
        <v>7</v>
      </c>
      <c r="D6" s="23" t="s">
        <v>18</v>
      </c>
      <c r="E6" s="23" t="s">
        <v>19</v>
      </c>
      <c r="F6" s="1" t="s">
        <v>20</v>
      </c>
      <c r="G6" s="1" t="s">
        <v>15</v>
      </c>
      <c r="H6" s="20">
        <v>1000</v>
      </c>
      <c r="I6" s="20">
        <v>0</v>
      </c>
      <c r="J6" s="20">
        <f t="shared" si="0"/>
        <v>1000</v>
      </c>
      <c r="K6" s="20">
        <f t="shared" si="1"/>
        <v>20000</v>
      </c>
      <c r="L6" s="23" t="s">
        <v>21</v>
      </c>
    </row>
    <row r="7" spans="1:12" ht="17" x14ac:dyDescent="0.2">
      <c r="A7" s="21">
        <v>46298</v>
      </c>
      <c r="B7" s="1" t="s">
        <v>22</v>
      </c>
      <c r="C7" s="1" t="s">
        <v>7</v>
      </c>
      <c r="D7" s="23" t="s">
        <v>13</v>
      </c>
      <c r="E7" s="23" t="s">
        <v>14</v>
      </c>
      <c r="F7" s="4">
        <v>0.29166666666666669</v>
      </c>
      <c r="G7" s="1" t="s">
        <v>15</v>
      </c>
      <c r="H7" s="20">
        <v>8000</v>
      </c>
      <c r="I7" s="20">
        <v>0</v>
      </c>
      <c r="J7" s="20">
        <f t="shared" si="0"/>
        <v>8000</v>
      </c>
      <c r="K7" s="20">
        <f t="shared" si="1"/>
        <v>28000</v>
      </c>
      <c r="L7" s="23"/>
    </row>
    <row r="8" spans="1:12" ht="17" x14ac:dyDescent="0.2">
      <c r="A8" s="21">
        <v>46298</v>
      </c>
      <c r="B8" s="1" t="s">
        <v>22</v>
      </c>
      <c r="C8" s="1" t="s">
        <v>7</v>
      </c>
      <c r="D8" s="23" t="s">
        <v>13</v>
      </c>
      <c r="E8" s="23" t="s">
        <v>17</v>
      </c>
      <c r="F8" s="4">
        <v>0.60416666666666663</v>
      </c>
      <c r="G8" s="1" t="s">
        <v>15</v>
      </c>
      <c r="H8" s="20">
        <v>6000</v>
      </c>
      <c r="I8" s="20">
        <v>0</v>
      </c>
      <c r="J8" s="20">
        <f t="shared" si="0"/>
        <v>6000</v>
      </c>
      <c r="K8" s="20">
        <f t="shared" si="1"/>
        <v>34000</v>
      </c>
      <c r="L8" s="23"/>
    </row>
    <row r="9" spans="1:12" ht="17" x14ac:dyDescent="0.2">
      <c r="A9" s="21">
        <v>46299</v>
      </c>
      <c r="B9" s="1" t="s">
        <v>23</v>
      </c>
      <c r="C9" s="1" t="s">
        <v>7</v>
      </c>
      <c r="D9" s="23" t="s">
        <v>24</v>
      </c>
      <c r="E9" s="23" t="s">
        <v>25</v>
      </c>
      <c r="F9" s="1" t="s">
        <v>26</v>
      </c>
      <c r="G9" s="1" t="s">
        <v>27</v>
      </c>
      <c r="H9" s="20">
        <v>17000</v>
      </c>
      <c r="I9" s="20">
        <v>0</v>
      </c>
      <c r="J9" s="20">
        <f t="shared" si="0"/>
        <v>17000</v>
      </c>
      <c r="K9" s="20">
        <f t="shared" si="1"/>
        <v>51000</v>
      </c>
      <c r="L9" s="23" t="s">
        <v>28</v>
      </c>
    </row>
    <row r="10" spans="1:12" ht="17" x14ac:dyDescent="0.2">
      <c r="A10" s="21">
        <v>46299</v>
      </c>
      <c r="B10" s="1" t="s">
        <v>23</v>
      </c>
      <c r="C10" s="1" t="s">
        <v>8</v>
      </c>
      <c r="D10" s="23" t="s">
        <v>29</v>
      </c>
      <c r="E10" s="23" t="s">
        <v>30</v>
      </c>
      <c r="F10" s="1" t="s">
        <v>31</v>
      </c>
      <c r="G10" s="1" t="s">
        <v>32</v>
      </c>
      <c r="H10" s="20">
        <v>0</v>
      </c>
      <c r="I10" s="20">
        <v>1000</v>
      </c>
      <c r="J10" s="20">
        <f t="shared" si="0"/>
        <v>-1000</v>
      </c>
      <c r="K10" s="20">
        <f t="shared" si="1"/>
        <v>50000</v>
      </c>
      <c r="L10" s="23" t="s">
        <v>33</v>
      </c>
    </row>
    <row r="11" spans="1:12" ht="17" x14ac:dyDescent="0.2">
      <c r="A11" s="21">
        <v>46299</v>
      </c>
      <c r="B11" s="1" t="s">
        <v>23</v>
      </c>
      <c r="C11" s="1" t="s">
        <v>8</v>
      </c>
      <c r="D11" s="23" t="s">
        <v>29</v>
      </c>
      <c r="E11" s="23" t="s">
        <v>30</v>
      </c>
      <c r="F11" s="1" t="s">
        <v>31</v>
      </c>
      <c r="G11" s="1" t="s">
        <v>34</v>
      </c>
      <c r="H11" s="20">
        <v>0</v>
      </c>
      <c r="I11" s="20">
        <v>1000</v>
      </c>
      <c r="J11" s="20">
        <f t="shared" si="0"/>
        <v>-1000</v>
      </c>
      <c r="K11" s="20">
        <f t="shared" si="1"/>
        <v>49000</v>
      </c>
      <c r="L11" s="23" t="s">
        <v>33</v>
      </c>
    </row>
    <row r="12" spans="1:12" ht="34" x14ac:dyDescent="0.2">
      <c r="A12" s="21">
        <v>46299</v>
      </c>
      <c r="B12" s="1" t="s">
        <v>23</v>
      </c>
      <c r="C12" s="1" t="s">
        <v>8</v>
      </c>
      <c r="D12" s="23" t="s">
        <v>35</v>
      </c>
      <c r="E12" s="23" t="s">
        <v>36</v>
      </c>
      <c r="F12" s="1" t="s">
        <v>31</v>
      </c>
      <c r="G12" s="1" t="s">
        <v>32</v>
      </c>
      <c r="H12" s="20">
        <v>0</v>
      </c>
      <c r="I12" s="20">
        <v>5000</v>
      </c>
      <c r="J12" s="20">
        <f t="shared" si="0"/>
        <v>-5000</v>
      </c>
      <c r="K12" s="25">
        <f t="shared" si="1"/>
        <v>44000</v>
      </c>
      <c r="L12" s="23" t="s">
        <v>37</v>
      </c>
    </row>
  </sheetData>
  <conditionalFormatting sqref="K2:K12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{93D73DCF-BAFF-DE49-A316-5D5ECE875AA2}</x14:id>
        </ext>
      </extLst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3D73DCF-BAFF-DE49-A316-5D5ECE875AA2}">
            <x14:dataBar minLength="0" maxLength="100" negativeBarColorSameAsPositive="1" axisPosition="none">
              <x14:cfvo type="min"/>
              <x14:cfvo type="max"/>
            </x14:dataBar>
          </x14:cfRule>
          <xm:sqref>K2:K12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Dashboard</vt:lpstr>
      <vt:lpstr>Transaction Ledger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Raghavender Hariharan</dc:creator>
  <cp:lastModifiedBy>Raghavender Hariharan</cp:lastModifiedBy>
  <dcterms:created xsi:type="dcterms:W3CDTF">2026-10-05T09:19:56Z</dcterms:created>
  <dcterms:modified xsi:type="dcterms:W3CDTF">2026-10-05T12:02:27Z</dcterms:modified>
</cp:coreProperties>
</file>